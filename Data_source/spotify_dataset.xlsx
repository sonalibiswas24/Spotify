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potify_data" sheetId="1" r:id="rId4"/>
  </sheets>
  <definedNames/>
  <calcPr/>
  <extLst>
    <ext uri="GoogleSheetsCustomDataVersion2">
      <go:sheetsCustomData xmlns:go="http://customooxmlschemas.google.com/" r:id="rId5" roundtripDataChecksum="m7XxRctulRnV9GlI1GoNo/+R4I2NSyckZffEsLaGIkE="/>
    </ext>
  </extLst>
</workbook>
</file>

<file path=xl/sharedStrings.xml><?xml version="1.0" encoding="utf-8"?>
<sst xmlns="http://schemas.openxmlformats.org/spreadsheetml/2006/main" count="43" uniqueCount="43">
  <si>
    <t>Date</t>
  </si>
  <si>
    <t>Total Revenue</t>
  </si>
  <si>
    <t>Cost of Revenue</t>
  </si>
  <si>
    <t>Gross Profit</t>
  </si>
  <si>
    <t>Premium Revenue</t>
  </si>
  <si>
    <t>Premium Cost Revenue</t>
  </si>
  <si>
    <t>Premium Gross Profit</t>
  </si>
  <si>
    <t>Ad Revenue</t>
  </si>
  <si>
    <t>Ad Cost of revenue</t>
  </si>
  <si>
    <t>Ad gross Profit</t>
  </si>
  <si>
    <t>Total MAUs</t>
  </si>
  <si>
    <t>Premium MAUs</t>
  </si>
  <si>
    <t>Ad MAUs</t>
  </si>
  <si>
    <t>Premium ARPU</t>
  </si>
  <si>
    <t>Sales and Marketing Cost</t>
  </si>
  <si>
    <t>Research and Development Cost</t>
  </si>
  <si>
    <t>General and Adminstrative Cost</t>
  </si>
  <si>
    <t>Total Cost</t>
  </si>
  <si>
    <t>31-03-2023</t>
  </si>
  <si>
    <t>31-12-2022</t>
  </si>
  <si>
    <t>30-09-2022</t>
  </si>
  <si>
    <t>30-06-2022</t>
  </si>
  <si>
    <t>31-03-2022</t>
  </si>
  <si>
    <t>31-12-2021</t>
  </si>
  <si>
    <t>30-09-2021</t>
  </si>
  <si>
    <t>30-06-2021</t>
  </si>
  <si>
    <t>31-03-2021</t>
  </si>
  <si>
    <t>31-12-2020</t>
  </si>
  <si>
    <t>30-09-2020</t>
  </si>
  <si>
    <t>30-06-2020</t>
  </si>
  <si>
    <t>31-03-2020</t>
  </si>
  <si>
    <t>31-12-2019</t>
  </si>
  <si>
    <t>30-09-2019</t>
  </si>
  <si>
    <t>30-06-2019</t>
  </si>
  <si>
    <t>31-03-2019</t>
  </si>
  <si>
    <t>31-12-2018</t>
  </si>
  <si>
    <t>30-09-2018</t>
  </si>
  <si>
    <t>30-06-2018</t>
  </si>
  <si>
    <t>31-03-2018</t>
  </si>
  <si>
    <t>31-12-2017</t>
  </si>
  <si>
    <t>30-09-2017</t>
  </si>
  <si>
    <t>30-06-2017</t>
  </si>
  <si>
    <t>31-03-2017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</si>
</sst>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5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164" xfId="0" applyFont="1" applyNumberFormat="1"/>
    <xf borderId="0" fillId="0" fontId="3" numFmtId="0" xfId="0" applyFont="1"/>
    <xf borderId="0" fillId="0" fontId="3" numFmtId="0" xfId="0" applyAlignment="1" applyFont="1">
      <alignment readingOrder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6.63"/>
    <col customWidth="1" min="2" max="2" width="12.63"/>
    <col customWidth="1" min="3" max="3" width="19.0"/>
    <col customWidth="1" min="4" max="4" width="12.63"/>
    <col customWidth="1" min="5" max="5" width="18.13"/>
    <col customWidth="1" min="6" max="7" width="19.13"/>
    <col customWidth="1" min="9" max="9" width="16.13"/>
    <col customWidth="1" min="14" max="14" width="16.88"/>
    <col customWidth="1" min="15" max="15" width="21.75"/>
    <col customWidth="1" min="16" max="17" width="27.75"/>
    <col customWidth="1" min="18" max="18" width="17.75"/>
  </cols>
  <sheetData>
    <row r="1" ht="15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18</v>
      </c>
      <c r="B2" s="6">
        <v>3042.0</v>
      </c>
      <c r="C2" s="6">
        <v>2276.0</v>
      </c>
      <c r="D2" s="7">
        <v>766.0</v>
      </c>
      <c r="E2" s="6">
        <v>2713.0</v>
      </c>
      <c r="F2" s="6">
        <v>1937.0</v>
      </c>
      <c r="G2" s="6">
        <v>776.0</v>
      </c>
      <c r="H2" s="6">
        <v>329.0</v>
      </c>
      <c r="I2" s="6">
        <v>339.0</v>
      </c>
      <c r="J2" s="6">
        <v>-10.0</v>
      </c>
      <c r="K2" s="8">
        <f t="shared" ref="K2:K26" si="1">L2+M2</f>
        <v>527</v>
      </c>
      <c r="L2" s="6">
        <v>210.0</v>
      </c>
      <c r="M2" s="6">
        <v>317.0</v>
      </c>
      <c r="N2" s="6">
        <v>4.32</v>
      </c>
      <c r="O2" s="6">
        <v>347.0</v>
      </c>
      <c r="P2" s="6">
        <v>435.0</v>
      </c>
      <c r="Q2" s="6">
        <v>140.0</v>
      </c>
      <c r="R2" s="6">
        <f t="shared" ref="R2:R26" si="2">SUM(F2,I2,O2,P2,Q2)</f>
        <v>3198</v>
      </c>
    </row>
    <row r="3" ht="15.75" customHeight="1">
      <c r="A3" s="5" t="s">
        <v>19</v>
      </c>
      <c r="B3" s="6">
        <v>3166.0</v>
      </c>
      <c r="C3" s="6">
        <v>2365.0</v>
      </c>
      <c r="D3" s="6">
        <v>801.0</v>
      </c>
      <c r="E3" s="6">
        <v>2717.0</v>
      </c>
      <c r="F3" s="6">
        <v>1939.0</v>
      </c>
      <c r="G3" s="6">
        <v>778.0</v>
      </c>
      <c r="H3" s="6">
        <v>449.0</v>
      </c>
      <c r="I3" s="6">
        <v>426.0</v>
      </c>
      <c r="J3" s="6">
        <v>23.0</v>
      </c>
      <c r="K3" s="8">
        <f t="shared" si="1"/>
        <v>500</v>
      </c>
      <c r="L3" s="6">
        <v>205.0</v>
      </c>
      <c r="M3" s="6">
        <v>295.0</v>
      </c>
      <c r="N3" s="6">
        <v>4.55</v>
      </c>
      <c r="O3" s="6">
        <v>453.0</v>
      </c>
      <c r="P3" s="6">
        <v>415.0</v>
      </c>
      <c r="Q3" s="6">
        <v>164.0</v>
      </c>
      <c r="R3" s="6">
        <f t="shared" si="2"/>
        <v>3397</v>
      </c>
    </row>
    <row r="4" ht="15.75" customHeight="1">
      <c r="A4" s="5" t="s">
        <v>20</v>
      </c>
      <c r="B4" s="6">
        <v>3036.0</v>
      </c>
      <c r="C4" s="6">
        <v>2286.0</v>
      </c>
      <c r="D4" s="6">
        <v>750.0</v>
      </c>
      <c r="E4" s="6">
        <v>2651.0</v>
      </c>
      <c r="F4" s="6">
        <v>1908.0</v>
      </c>
      <c r="G4" s="6">
        <v>743.0</v>
      </c>
      <c r="H4" s="6">
        <v>385.0</v>
      </c>
      <c r="I4" s="6">
        <v>378.0</v>
      </c>
      <c r="J4" s="6">
        <v>7.0</v>
      </c>
      <c r="K4" s="8">
        <f t="shared" si="1"/>
        <v>468</v>
      </c>
      <c r="L4" s="6">
        <v>195.0</v>
      </c>
      <c r="M4" s="6">
        <v>273.0</v>
      </c>
      <c r="N4" s="6">
        <v>4.63</v>
      </c>
      <c r="O4" s="6">
        <v>432.0</v>
      </c>
      <c r="P4" s="6">
        <v>386.0</v>
      </c>
      <c r="Q4" s="6">
        <v>160.0</v>
      </c>
      <c r="R4" s="6">
        <f t="shared" si="2"/>
        <v>3264</v>
      </c>
    </row>
    <row r="5" ht="15.75" customHeight="1">
      <c r="A5" s="5" t="s">
        <v>21</v>
      </c>
      <c r="B5" s="6">
        <v>2864.0</v>
      </c>
      <c r="C5" s="6">
        <v>2160.0</v>
      </c>
      <c r="D5" s="6">
        <v>704.0</v>
      </c>
      <c r="E5" s="6">
        <v>2504.0</v>
      </c>
      <c r="F5" s="6">
        <v>1804.0</v>
      </c>
      <c r="G5" s="6">
        <v>700.0</v>
      </c>
      <c r="H5" s="6">
        <v>360.0</v>
      </c>
      <c r="I5" s="6">
        <v>356.0</v>
      </c>
      <c r="J5" s="6">
        <v>4.0</v>
      </c>
      <c r="K5" s="8">
        <f t="shared" si="1"/>
        <v>453</v>
      </c>
      <c r="L5" s="6">
        <v>188.0</v>
      </c>
      <c r="M5" s="6">
        <v>265.0</v>
      </c>
      <c r="N5" s="6">
        <v>4.54</v>
      </c>
      <c r="O5" s="6">
        <v>391.0</v>
      </c>
      <c r="P5" s="6">
        <v>336.0</v>
      </c>
      <c r="Q5" s="6">
        <v>171.0</v>
      </c>
      <c r="R5" s="6">
        <f t="shared" si="2"/>
        <v>3058</v>
      </c>
    </row>
    <row r="6" ht="15.75" customHeight="1">
      <c r="A6" s="5" t="s">
        <v>22</v>
      </c>
      <c r="B6" s="6">
        <v>2661.0</v>
      </c>
      <c r="C6" s="6">
        <v>1990.0</v>
      </c>
      <c r="D6" s="6">
        <v>671.0</v>
      </c>
      <c r="E6" s="6">
        <v>2379.0</v>
      </c>
      <c r="F6" s="6">
        <v>1704.0</v>
      </c>
      <c r="G6" s="6">
        <v>675.0</v>
      </c>
      <c r="H6" s="6">
        <v>282.0</v>
      </c>
      <c r="I6" s="6">
        <v>286.0</v>
      </c>
      <c r="J6" s="6">
        <v>-4.0</v>
      </c>
      <c r="K6" s="8">
        <f t="shared" si="1"/>
        <v>434</v>
      </c>
      <c r="L6" s="6">
        <v>182.0</v>
      </c>
      <c r="M6" s="6">
        <v>252.0</v>
      </c>
      <c r="N6" s="6">
        <v>4.38</v>
      </c>
      <c r="O6" s="6">
        <v>296.0</v>
      </c>
      <c r="P6" s="6">
        <v>250.0</v>
      </c>
      <c r="Q6" s="6">
        <v>131.0</v>
      </c>
      <c r="R6" s="6">
        <f t="shared" si="2"/>
        <v>2667</v>
      </c>
    </row>
    <row r="7" ht="15.75" customHeight="1">
      <c r="A7" s="5" t="s">
        <v>23</v>
      </c>
      <c r="B7" s="6">
        <v>2689.0</v>
      </c>
      <c r="C7" s="6">
        <v>1977.0</v>
      </c>
      <c r="D7" s="6">
        <v>712.0</v>
      </c>
      <c r="E7" s="6">
        <v>2295.0</v>
      </c>
      <c r="F7" s="6">
        <v>1625.0</v>
      </c>
      <c r="G7" s="6">
        <v>670.0</v>
      </c>
      <c r="H7" s="6">
        <v>394.0</v>
      </c>
      <c r="I7" s="6">
        <v>352.0</v>
      </c>
      <c r="J7" s="6">
        <v>42.0</v>
      </c>
      <c r="K7" s="8">
        <f t="shared" si="1"/>
        <v>416</v>
      </c>
      <c r="L7" s="6">
        <v>180.0</v>
      </c>
      <c r="M7" s="6">
        <v>236.0</v>
      </c>
      <c r="N7" s="6">
        <v>4.4</v>
      </c>
      <c r="O7" s="6">
        <v>340.0</v>
      </c>
      <c r="P7" s="6">
        <v>253.0</v>
      </c>
      <c r="Q7" s="6">
        <v>126.0</v>
      </c>
      <c r="R7" s="6">
        <f t="shared" si="2"/>
        <v>2696</v>
      </c>
    </row>
    <row r="8" ht="15.75" customHeight="1">
      <c r="A8" s="5" t="s">
        <v>24</v>
      </c>
      <c r="B8" s="6">
        <v>2501.0</v>
      </c>
      <c r="C8" s="6">
        <v>1833.0</v>
      </c>
      <c r="D8" s="6">
        <v>668.0</v>
      </c>
      <c r="E8" s="6">
        <v>2178.0</v>
      </c>
      <c r="F8" s="6">
        <v>1545.0</v>
      </c>
      <c r="G8" s="6">
        <v>633.0</v>
      </c>
      <c r="H8" s="6">
        <v>323.0</v>
      </c>
      <c r="I8" s="6">
        <v>288.0</v>
      </c>
      <c r="J8" s="6">
        <v>35.0</v>
      </c>
      <c r="K8" s="8">
        <f t="shared" si="1"/>
        <v>392</v>
      </c>
      <c r="L8" s="6">
        <v>172.0</v>
      </c>
      <c r="M8" s="6">
        <v>220.0</v>
      </c>
      <c r="N8" s="6">
        <v>4.34</v>
      </c>
      <c r="O8" s="6">
        <v>280.0</v>
      </c>
      <c r="P8" s="6">
        <v>208.0</v>
      </c>
      <c r="Q8" s="6">
        <v>105.0</v>
      </c>
      <c r="R8" s="6">
        <f t="shared" si="2"/>
        <v>2426</v>
      </c>
    </row>
    <row r="9" ht="15.75" customHeight="1">
      <c r="A9" s="5" t="s">
        <v>25</v>
      </c>
      <c r="B9" s="6">
        <v>2331.0</v>
      </c>
      <c r="C9" s="6">
        <v>1668.0</v>
      </c>
      <c r="D9" s="6">
        <v>663.0</v>
      </c>
      <c r="E9" s="6">
        <v>2056.0</v>
      </c>
      <c r="F9" s="6">
        <v>1423.0</v>
      </c>
      <c r="G9" s="6">
        <v>633.0</v>
      </c>
      <c r="H9" s="6">
        <v>275.0</v>
      </c>
      <c r="I9" s="6">
        <v>245.0</v>
      </c>
      <c r="J9" s="6">
        <v>30.0</v>
      </c>
      <c r="K9" s="8">
        <f t="shared" si="1"/>
        <v>375</v>
      </c>
      <c r="L9" s="6">
        <v>165.0</v>
      </c>
      <c r="M9" s="6">
        <v>210.0</v>
      </c>
      <c r="N9" s="6">
        <v>4.29</v>
      </c>
      <c r="O9" s="6">
        <v>279.0</v>
      </c>
      <c r="P9" s="6">
        <v>255.0</v>
      </c>
      <c r="Q9" s="6">
        <v>117.0</v>
      </c>
      <c r="R9" s="6">
        <f t="shared" si="2"/>
        <v>2319</v>
      </c>
    </row>
    <row r="10" ht="15.75" customHeight="1">
      <c r="A10" s="5" t="s">
        <v>26</v>
      </c>
      <c r="B10" s="6">
        <v>2147.0</v>
      </c>
      <c r="C10" s="6">
        <v>1599.0</v>
      </c>
      <c r="D10" s="6">
        <v>548.0</v>
      </c>
      <c r="E10" s="6">
        <v>1931.0</v>
      </c>
      <c r="F10" s="6">
        <v>1393.0</v>
      </c>
      <c r="G10" s="6">
        <v>538.0</v>
      </c>
      <c r="H10" s="6">
        <v>216.0</v>
      </c>
      <c r="I10" s="6">
        <v>206.0</v>
      </c>
      <c r="J10" s="6">
        <v>10.0</v>
      </c>
      <c r="K10" s="8">
        <f t="shared" si="1"/>
        <v>366</v>
      </c>
      <c r="L10" s="6">
        <v>158.0</v>
      </c>
      <c r="M10" s="6">
        <v>208.0</v>
      </c>
      <c r="N10" s="6">
        <v>4.12</v>
      </c>
      <c r="O10" s="6">
        <v>236.0</v>
      </c>
      <c r="P10" s="6">
        <v>196.0</v>
      </c>
      <c r="Q10" s="6">
        <v>102.0</v>
      </c>
      <c r="R10" s="6">
        <f t="shared" si="2"/>
        <v>2133</v>
      </c>
    </row>
    <row r="11" ht="15.75" customHeight="1">
      <c r="A11" s="5" t="s">
        <v>27</v>
      </c>
      <c r="B11" s="6">
        <v>2168.0</v>
      </c>
      <c r="C11" s="6">
        <v>1593.0</v>
      </c>
      <c r="D11" s="6">
        <v>575.0</v>
      </c>
      <c r="E11" s="6">
        <v>1887.0</v>
      </c>
      <c r="F11" s="6">
        <v>1342.0</v>
      </c>
      <c r="G11" s="6">
        <v>545.0</v>
      </c>
      <c r="H11" s="6">
        <v>281.0</v>
      </c>
      <c r="I11" s="6">
        <v>251.0</v>
      </c>
      <c r="J11" s="6">
        <v>30.0</v>
      </c>
      <c r="K11" s="8">
        <f t="shared" si="1"/>
        <v>354</v>
      </c>
      <c r="L11" s="6">
        <v>155.0</v>
      </c>
      <c r="M11" s="6">
        <v>199.0</v>
      </c>
      <c r="N11" s="6">
        <v>4.26</v>
      </c>
      <c r="O11" s="6">
        <v>294.0</v>
      </c>
      <c r="P11" s="6">
        <v>232.0</v>
      </c>
      <c r="Q11" s="6">
        <v>118.0</v>
      </c>
      <c r="R11" s="6">
        <f t="shared" si="2"/>
        <v>2237</v>
      </c>
    </row>
    <row r="12" ht="15.75" customHeight="1">
      <c r="A12" s="5" t="s">
        <v>28</v>
      </c>
      <c r="B12" s="6">
        <v>1975.0</v>
      </c>
      <c r="C12" s="6">
        <v>1486.0</v>
      </c>
      <c r="D12" s="6">
        <v>489.0</v>
      </c>
      <c r="E12" s="6">
        <v>1790.0</v>
      </c>
      <c r="F12" s="6">
        <v>1302.0</v>
      </c>
      <c r="G12" s="6">
        <v>488.0</v>
      </c>
      <c r="H12" s="6">
        <v>185.0</v>
      </c>
      <c r="I12" s="6">
        <v>184.0</v>
      </c>
      <c r="J12" s="6">
        <v>1.0</v>
      </c>
      <c r="K12" s="8">
        <f t="shared" si="1"/>
        <v>329</v>
      </c>
      <c r="L12" s="6">
        <v>144.0</v>
      </c>
      <c r="M12" s="6">
        <v>185.0</v>
      </c>
      <c r="N12" s="6">
        <v>4.19</v>
      </c>
      <c r="O12" s="6">
        <v>256.0</v>
      </c>
      <c r="P12" s="6">
        <v>176.0</v>
      </c>
      <c r="Q12" s="6">
        <v>97.0</v>
      </c>
      <c r="R12" s="6">
        <f t="shared" si="2"/>
        <v>2015</v>
      </c>
    </row>
    <row r="13" ht="15.75" customHeight="1">
      <c r="A13" s="5" t="s">
        <v>29</v>
      </c>
      <c r="B13" s="6">
        <v>1889.0</v>
      </c>
      <c r="C13" s="6">
        <v>1410.0</v>
      </c>
      <c r="D13" s="6">
        <v>479.0</v>
      </c>
      <c r="E13" s="6">
        <v>1758.0</v>
      </c>
      <c r="F13" s="6">
        <v>1263.0</v>
      </c>
      <c r="G13" s="6">
        <v>495.0</v>
      </c>
      <c r="H13" s="6">
        <v>131.0</v>
      </c>
      <c r="I13" s="6">
        <v>147.0</v>
      </c>
      <c r="J13" s="6">
        <v>-16.0</v>
      </c>
      <c r="K13" s="8">
        <f t="shared" si="1"/>
        <v>308</v>
      </c>
      <c r="L13" s="6">
        <v>138.0</v>
      </c>
      <c r="M13" s="6">
        <v>170.0</v>
      </c>
      <c r="N13" s="6">
        <v>4.41</v>
      </c>
      <c r="O13" s="6">
        <v>248.0</v>
      </c>
      <c r="P13" s="6">
        <v>267.0</v>
      </c>
      <c r="Q13" s="6">
        <v>131.0</v>
      </c>
      <c r="R13" s="6">
        <f t="shared" si="2"/>
        <v>2056</v>
      </c>
    </row>
    <row r="14" ht="15.75" customHeight="1">
      <c r="A14" s="5" t="s">
        <v>30</v>
      </c>
      <c r="B14" s="6">
        <v>1848.0</v>
      </c>
      <c r="C14" s="6">
        <v>1376.0</v>
      </c>
      <c r="D14" s="6">
        <v>472.0</v>
      </c>
      <c r="E14" s="6">
        <v>1700.0</v>
      </c>
      <c r="F14" s="6">
        <v>1219.0</v>
      </c>
      <c r="G14" s="6">
        <v>481.0</v>
      </c>
      <c r="H14" s="6">
        <v>148.0</v>
      </c>
      <c r="I14" s="6">
        <v>157.0</v>
      </c>
      <c r="J14" s="6">
        <v>-9.0</v>
      </c>
      <c r="K14" s="8">
        <f t="shared" si="1"/>
        <v>293</v>
      </c>
      <c r="L14" s="6">
        <v>130.0</v>
      </c>
      <c r="M14" s="6">
        <v>163.0</v>
      </c>
      <c r="N14" s="6">
        <v>4.42</v>
      </c>
      <c r="O14" s="6">
        <v>231.0</v>
      </c>
      <c r="P14" s="6">
        <v>162.0</v>
      </c>
      <c r="Q14" s="6">
        <v>96.0</v>
      </c>
      <c r="R14" s="6">
        <f t="shared" si="2"/>
        <v>1865</v>
      </c>
    </row>
    <row r="15" ht="15.75" customHeight="1">
      <c r="A15" s="5" t="s">
        <v>31</v>
      </c>
      <c r="B15" s="6">
        <v>1855.0</v>
      </c>
      <c r="C15" s="6">
        <v>1381.0</v>
      </c>
      <c r="D15" s="6">
        <v>474.0</v>
      </c>
      <c r="E15" s="6">
        <v>1638.0</v>
      </c>
      <c r="F15" s="6">
        <v>1189.0</v>
      </c>
      <c r="G15" s="6">
        <v>449.0</v>
      </c>
      <c r="H15" s="6">
        <v>217.0</v>
      </c>
      <c r="I15" s="6">
        <v>192.0</v>
      </c>
      <c r="J15" s="6">
        <v>25.0</v>
      </c>
      <c r="K15" s="8">
        <f t="shared" si="1"/>
        <v>277</v>
      </c>
      <c r="L15" s="6">
        <v>124.0</v>
      </c>
      <c r="M15" s="6">
        <v>153.0</v>
      </c>
      <c r="N15" s="6">
        <v>4.65</v>
      </c>
      <c r="O15" s="6">
        <v>276.0</v>
      </c>
      <c r="P15" s="6">
        <v>173.0</v>
      </c>
      <c r="Q15" s="6">
        <v>102.0</v>
      </c>
      <c r="R15" s="6">
        <f t="shared" si="2"/>
        <v>1932</v>
      </c>
    </row>
    <row r="16" ht="15.75" customHeight="1">
      <c r="A16" s="5" t="s">
        <v>32</v>
      </c>
      <c r="B16" s="6">
        <v>1731.0</v>
      </c>
      <c r="C16" s="6">
        <v>1290.0</v>
      </c>
      <c r="D16" s="6">
        <v>441.0</v>
      </c>
      <c r="E16" s="6">
        <v>1561.0</v>
      </c>
      <c r="F16" s="6">
        <v>1142.0</v>
      </c>
      <c r="G16" s="6">
        <v>419.0</v>
      </c>
      <c r="H16" s="6">
        <v>170.0</v>
      </c>
      <c r="I16" s="6">
        <v>148.0</v>
      </c>
      <c r="J16" s="6">
        <v>22.0</v>
      </c>
      <c r="K16" s="8">
        <f t="shared" si="1"/>
        <v>254</v>
      </c>
      <c r="L16" s="6">
        <v>113.0</v>
      </c>
      <c r="M16" s="6">
        <v>141.0</v>
      </c>
      <c r="N16" s="6">
        <v>4.67</v>
      </c>
      <c r="O16" s="6">
        <v>178.0</v>
      </c>
      <c r="P16" s="6">
        <v>136.0</v>
      </c>
      <c r="Q16" s="6">
        <v>73.0</v>
      </c>
      <c r="R16" s="6">
        <f t="shared" si="2"/>
        <v>1677</v>
      </c>
    </row>
    <row r="17" ht="15.75" customHeight="1">
      <c r="A17" s="5" t="s">
        <v>33</v>
      </c>
      <c r="B17" s="6">
        <v>1667.0</v>
      </c>
      <c r="C17" s="6">
        <v>1233.0</v>
      </c>
      <c r="D17" s="6">
        <v>434.0</v>
      </c>
      <c r="E17" s="6">
        <v>1502.0</v>
      </c>
      <c r="F17" s="6">
        <v>1089.0</v>
      </c>
      <c r="G17" s="6">
        <v>413.0</v>
      </c>
      <c r="H17" s="6">
        <v>165.0</v>
      </c>
      <c r="I17" s="6">
        <v>144.0</v>
      </c>
      <c r="J17" s="6">
        <v>21.0</v>
      </c>
      <c r="K17" s="8">
        <f t="shared" si="1"/>
        <v>237</v>
      </c>
      <c r="L17" s="6">
        <v>108.0</v>
      </c>
      <c r="M17" s="6">
        <v>129.0</v>
      </c>
      <c r="N17" s="6">
        <v>4.86</v>
      </c>
      <c r="O17" s="6">
        <v>200.0</v>
      </c>
      <c r="P17" s="6">
        <v>151.0</v>
      </c>
      <c r="Q17" s="6">
        <v>86.0</v>
      </c>
      <c r="R17" s="6">
        <f t="shared" si="2"/>
        <v>1670</v>
      </c>
    </row>
    <row r="18" ht="15.75" customHeight="1">
      <c r="A18" s="5" t="s">
        <v>34</v>
      </c>
      <c r="B18" s="6">
        <v>1511.0</v>
      </c>
      <c r="C18" s="6">
        <v>1138.0</v>
      </c>
      <c r="D18" s="6">
        <v>373.0</v>
      </c>
      <c r="E18" s="6">
        <v>1385.0</v>
      </c>
      <c r="F18" s="6">
        <v>1023.0</v>
      </c>
      <c r="G18" s="6">
        <v>362.0</v>
      </c>
      <c r="H18" s="6">
        <v>126.0</v>
      </c>
      <c r="I18" s="6">
        <v>115.0</v>
      </c>
      <c r="J18" s="6">
        <v>11.0</v>
      </c>
      <c r="K18" s="8">
        <f t="shared" si="1"/>
        <v>223</v>
      </c>
      <c r="L18" s="6">
        <v>100.0</v>
      </c>
      <c r="M18" s="6">
        <v>123.0</v>
      </c>
      <c r="N18" s="6">
        <v>4.71</v>
      </c>
      <c r="O18" s="6">
        <v>172.0</v>
      </c>
      <c r="P18" s="6">
        <v>155.0</v>
      </c>
      <c r="Q18" s="6">
        <v>93.0</v>
      </c>
      <c r="R18" s="6">
        <f t="shared" si="2"/>
        <v>1558</v>
      </c>
    </row>
    <row r="19" ht="15.75" customHeight="1">
      <c r="A19" s="5" t="s">
        <v>35</v>
      </c>
      <c r="B19" s="6">
        <v>1495.0</v>
      </c>
      <c r="C19" s="6">
        <v>1096.0</v>
      </c>
      <c r="D19" s="6">
        <v>399.0</v>
      </c>
      <c r="E19" s="6">
        <v>1320.0</v>
      </c>
      <c r="F19" s="6">
        <v>959.0</v>
      </c>
      <c r="G19" s="6">
        <v>361.0</v>
      </c>
      <c r="H19" s="6">
        <v>175.0</v>
      </c>
      <c r="I19" s="6">
        <v>147.0</v>
      </c>
      <c r="J19" s="6">
        <v>28.0</v>
      </c>
      <c r="K19" s="8">
        <f t="shared" si="1"/>
        <v>212</v>
      </c>
      <c r="L19" s="6">
        <v>96.0</v>
      </c>
      <c r="M19" s="6">
        <v>116.0</v>
      </c>
      <c r="N19" s="6">
        <v>4.89</v>
      </c>
      <c r="O19" s="6">
        <v>163.0</v>
      </c>
      <c r="P19" s="6">
        <v>100.0</v>
      </c>
      <c r="Q19" s="6">
        <v>42.0</v>
      </c>
      <c r="R19" s="6">
        <f t="shared" si="2"/>
        <v>1411</v>
      </c>
    </row>
    <row r="20" ht="15.75" customHeight="1">
      <c r="A20" s="5" t="s">
        <v>36</v>
      </c>
      <c r="B20" s="6">
        <v>1352.0</v>
      </c>
      <c r="C20" s="6">
        <v>1010.0</v>
      </c>
      <c r="D20" s="6">
        <v>342.0</v>
      </c>
      <c r="E20" s="6">
        <v>1210.0</v>
      </c>
      <c r="F20" s="6">
        <v>894.0</v>
      </c>
      <c r="G20" s="6">
        <v>316.0</v>
      </c>
      <c r="H20" s="6">
        <v>142.0</v>
      </c>
      <c r="I20" s="6">
        <v>116.0</v>
      </c>
      <c r="J20" s="6">
        <v>26.0</v>
      </c>
      <c r="K20" s="8">
        <f t="shared" si="1"/>
        <v>196</v>
      </c>
      <c r="L20" s="6">
        <v>87.0</v>
      </c>
      <c r="M20" s="6">
        <v>109.0</v>
      </c>
      <c r="N20" s="6">
        <v>4.73</v>
      </c>
      <c r="O20" s="6">
        <v>146.0</v>
      </c>
      <c r="P20" s="6">
        <v>135.0</v>
      </c>
      <c r="Q20" s="6">
        <v>67.0</v>
      </c>
      <c r="R20" s="6">
        <f t="shared" si="2"/>
        <v>1358</v>
      </c>
    </row>
    <row r="21" ht="15.75" customHeight="1">
      <c r="A21" s="5" t="s">
        <v>37</v>
      </c>
      <c r="B21" s="6">
        <v>1273.0</v>
      </c>
      <c r="C21" s="6">
        <v>944.0</v>
      </c>
      <c r="D21" s="6">
        <v>329.0</v>
      </c>
      <c r="E21" s="6">
        <v>1150.0</v>
      </c>
      <c r="F21" s="6">
        <v>841.0</v>
      </c>
      <c r="G21" s="6">
        <v>309.0</v>
      </c>
      <c r="H21" s="6">
        <v>123.0</v>
      </c>
      <c r="I21" s="6">
        <v>103.0</v>
      </c>
      <c r="J21" s="6">
        <v>20.0</v>
      </c>
      <c r="K21" s="8">
        <f t="shared" si="1"/>
        <v>184</v>
      </c>
      <c r="L21" s="6">
        <v>83.0</v>
      </c>
      <c r="M21" s="6">
        <v>101.0</v>
      </c>
      <c r="N21" s="6">
        <v>4.89</v>
      </c>
      <c r="O21" s="6">
        <v>173.0</v>
      </c>
      <c r="P21" s="6">
        <v>143.0</v>
      </c>
      <c r="Q21" s="6">
        <v>103.0</v>
      </c>
      <c r="R21" s="6">
        <f t="shared" si="2"/>
        <v>1363</v>
      </c>
    </row>
    <row r="22" ht="15.75" customHeight="1">
      <c r="A22" s="5" t="s">
        <v>38</v>
      </c>
      <c r="B22" s="6">
        <v>1139.0</v>
      </c>
      <c r="C22" s="6">
        <v>856.0</v>
      </c>
      <c r="D22" s="6">
        <v>283.0</v>
      </c>
      <c r="E22" s="6">
        <v>1037.0</v>
      </c>
      <c r="F22" s="6">
        <v>767.0</v>
      </c>
      <c r="G22" s="6">
        <v>270.0</v>
      </c>
      <c r="H22" s="6">
        <v>102.0</v>
      </c>
      <c r="I22" s="6">
        <v>89.0</v>
      </c>
      <c r="J22" s="6">
        <v>13.0</v>
      </c>
      <c r="K22" s="8">
        <f t="shared" si="1"/>
        <v>174</v>
      </c>
      <c r="L22" s="6">
        <v>75.0</v>
      </c>
      <c r="M22" s="6">
        <v>99.0</v>
      </c>
      <c r="N22" s="6">
        <v>4.72</v>
      </c>
      <c r="O22" s="6">
        <v>138.0</v>
      </c>
      <c r="P22" s="6">
        <v>115.0</v>
      </c>
      <c r="Q22" s="6">
        <v>71.0</v>
      </c>
      <c r="R22" s="6">
        <f t="shared" si="2"/>
        <v>1180</v>
      </c>
    </row>
    <row r="23" ht="15.75" customHeight="1">
      <c r="A23" s="5" t="s">
        <v>39</v>
      </c>
      <c r="B23" s="6">
        <v>1449.0</v>
      </c>
      <c r="C23" s="6">
        <v>867.0</v>
      </c>
      <c r="D23" s="6">
        <v>582.0</v>
      </c>
      <c r="E23" s="6">
        <v>1018.0</v>
      </c>
      <c r="F23" s="6">
        <v>761.0</v>
      </c>
      <c r="G23" s="6">
        <v>257.0</v>
      </c>
      <c r="H23" s="6">
        <v>130.0</v>
      </c>
      <c r="I23" s="6">
        <v>106.0</v>
      </c>
      <c r="J23" s="6">
        <v>24.0</v>
      </c>
      <c r="K23" s="8">
        <f t="shared" si="1"/>
        <v>164</v>
      </c>
      <c r="L23" s="6">
        <v>71.0</v>
      </c>
      <c r="M23" s="6">
        <v>93.0</v>
      </c>
      <c r="N23" s="6">
        <v>5.24</v>
      </c>
      <c r="O23" s="6">
        <v>173.0</v>
      </c>
      <c r="P23" s="6">
        <v>123.0</v>
      </c>
      <c r="Q23" s="6">
        <v>73.0</v>
      </c>
      <c r="R23" s="6">
        <f t="shared" si="2"/>
        <v>1236</v>
      </c>
    </row>
    <row r="24" ht="15.75" customHeight="1">
      <c r="A24" s="5" t="s">
        <v>40</v>
      </c>
      <c r="B24" s="6">
        <v>1032.0</v>
      </c>
      <c r="C24" s="6">
        <v>802.0</v>
      </c>
      <c r="D24" s="6">
        <v>230.0</v>
      </c>
      <c r="E24" s="6">
        <v>923.0</v>
      </c>
      <c r="F24" s="6">
        <v>711.0</v>
      </c>
      <c r="G24" s="6">
        <v>212.0</v>
      </c>
      <c r="H24" s="6">
        <v>109.0</v>
      </c>
      <c r="I24" s="6">
        <v>91.0</v>
      </c>
      <c r="J24" s="6">
        <v>18.0</v>
      </c>
      <c r="K24" s="8">
        <f t="shared" si="1"/>
        <v>153</v>
      </c>
      <c r="L24" s="6">
        <v>62.0</v>
      </c>
      <c r="M24" s="6">
        <v>91.0</v>
      </c>
      <c r="N24" s="6">
        <v>5.06</v>
      </c>
      <c r="O24" s="6">
        <v>138.0</v>
      </c>
      <c r="P24" s="6">
        <v>98.0</v>
      </c>
      <c r="Q24" s="6">
        <v>67.0</v>
      </c>
      <c r="R24" s="6">
        <f t="shared" si="2"/>
        <v>1105</v>
      </c>
    </row>
    <row r="25" ht="15.75" customHeight="1">
      <c r="A25" s="5" t="s">
        <v>41</v>
      </c>
      <c r="B25" s="6">
        <v>1007.0</v>
      </c>
      <c r="C25" s="6">
        <v>775.0</v>
      </c>
      <c r="D25" s="6">
        <v>232.0</v>
      </c>
      <c r="E25" s="6">
        <v>904.0</v>
      </c>
      <c r="F25" s="6">
        <v>686.0</v>
      </c>
      <c r="G25" s="6">
        <v>218.0</v>
      </c>
      <c r="H25" s="6">
        <v>103.0</v>
      </c>
      <c r="I25" s="6">
        <v>89.0</v>
      </c>
      <c r="J25" s="6">
        <v>14.0</v>
      </c>
      <c r="K25" s="8">
        <f t="shared" si="1"/>
        <v>142</v>
      </c>
      <c r="L25" s="6">
        <v>59.0</v>
      </c>
      <c r="M25" s="6">
        <v>83.0</v>
      </c>
      <c r="N25" s="6">
        <v>5.53</v>
      </c>
      <c r="O25" s="6">
        <v>146.0</v>
      </c>
      <c r="P25" s="6">
        <v>95.0</v>
      </c>
      <c r="Q25" s="6">
        <v>70.0</v>
      </c>
      <c r="R25" s="6">
        <f t="shared" si="2"/>
        <v>1086</v>
      </c>
    </row>
    <row r="26" ht="15.75" customHeight="1">
      <c r="A26" s="5" t="s">
        <v>42</v>
      </c>
      <c r="B26" s="6">
        <v>902.0</v>
      </c>
      <c r="C26" s="6">
        <v>797.0</v>
      </c>
      <c r="D26" s="6">
        <v>105.0</v>
      </c>
      <c r="E26" s="6">
        <v>828.0</v>
      </c>
      <c r="F26" s="6">
        <v>710.0</v>
      </c>
      <c r="G26" s="6">
        <v>118.0</v>
      </c>
      <c r="H26" s="6">
        <v>74.0</v>
      </c>
      <c r="I26" s="6">
        <v>87.0</v>
      </c>
      <c r="J26" s="6">
        <v>-13.0</v>
      </c>
      <c r="K26" s="8">
        <f t="shared" si="1"/>
        <v>134</v>
      </c>
      <c r="L26" s="6">
        <v>52.0</v>
      </c>
      <c r="M26" s="6">
        <v>82.0</v>
      </c>
      <c r="N26" s="6">
        <v>5.46</v>
      </c>
      <c r="O26" s="6">
        <v>110.0</v>
      </c>
      <c r="P26" s="6">
        <v>80.0</v>
      </c>
      <c r="Q26" s="6">
        <v>54.0</v>
      </c>
      <c r="R26" s="6">
        <f t="shared" si="2"/>
        <v>1041</v>
      </c>
    </row>
    <row r="27" ht="15.75" customHeight="1">
      <c r="A27" s="5"/>
      <c r="N27" s="6"/>
    </row>
    <row r="28" ht="15.75" customHeight="1">
      <c r="A28" s="5"/>
      <c r="N28" s="6"/>
    </row>
    <row r="29" ht="15.75" customHeight="1">
      <c r="A29" s="5"/>
    </row>
    <row r="30" ht="15.75" customHeight="1">
      <c r="A30" s="5"/>
    </row>
    <row r="31" ht="15.75" customHeight="1">
      <c r="A31" s="5"/>
    </row>
    <row r="32" ht="15.75" customHeight="1">
      <c r="A32" s="5"/>
    </row>
    <row r="33" ht="15.75" customHeight="1">
      <c r="A33" s="5"/>
    </row>
    <row r="34" ht="15.75" customHeight="1">
      <c r="A34" s="5"/>
    </row>
    <row r="35" ht="15.75" customHeight="1">
      <c r="A35" s="5"/>
    </row>
    <row r="36" ht="15.75" customHeight="1">
      <c r="A36" s="5"/>
    </row>
    <row r="37" ht="15.75" customHeight="1">
      <c r="A37" s="5"/>
    </row>
    <row r="38" ht="15.75" customHeight="1">
      <c r="A38" s="5"/>
    </row>
    <row r="39" ht="15.75" customHeight="1">
      <c r="A39" s="5"/>
    </row>
    <row r="40" ht="15.75" customHeight="1">
      <c r="A40" s="5"/>
    </row>
    <row r="41" ht="15.75" customHeight="1">
      <c r="A41" s="5"/>
    </row>
    <row r="42" ht="15.75" customHeight="1">
      <c r="A42" s="5"/>
    </row>
    <row r="43" ht="15.75" customHeight="1">
      <c r="A43" s="5"/>
    </row>
    <row r="44" ht="15.75" customHeight="1">
      <c r="A44" s="5"/>
    </row>
    <row r="45" ht="15.75" customHeight="1">
      <c r="A45" s="5"/>
    </row>
    <row r="46" ht="15.75" customHeight="1">
      <c r="A46" s="5"/>
    </row>
    <row r="47" ht="15.75" customHeight="1">
      <c r="A47" s="5"/>
    </row>
    <row r="48" ht="15.75" customHeight="1">
      <c r="A48" s="5"/>
    </row>
    <row r="49" ht="15.75" customHeight="1">
      <c r="A49" s="5"/>
    </row>
    <row r="50" ht="15.75" customHeight="1">
      <c r="A50" s="5"/>
    </row>
    <row r="51" ht="15.75" customHeight="1">
      <c r="A51" s="5"/>
    </row>
    <row r="52" ht="15.75" customHeight="1">
      <c r="A52" s="5"/>
    </row>
    <row r="53" ht="15.75" customHeight="1">
      <c r="A53" s="5"/>
    </row>
    <row r="54" ht="15.75" customHeight="1">
      <c r="A54" s="5"/>
    </row>
    <row r="55" ht="15.75" customHeight="1">
      <c r="A55" s="5"/>
    </row>
    <row r="56" ht="15.75" customHeight="1">
      <c r="A56" s="5"/>
    </row>
    <row r="57" ht="15.75" customHeight="1">
      <c r="A57" s="5"/>
    </row>
    <row r="58" ht="15.75" customHeight="1">
      <c r="A58" s="5"/>
    </row>
    <row r="59" ht="15.75" customHeight="1">
      <c r="A59" s="5"/>
    </row>
    <row r="60" ht="15.75" customHeight="1">
      <c r="A60" s="5"/>
    </row>
    <row r="61" ht="15.75" customHeight="1">
      <c r="A61" s="5"/>
    </row>
    <row r="62" ht="15.75" customHeight="1">
      <c r="A62" s="5"/>
    </row>
    <row r="63" ht="15.75" customHeight="1">
      <c r="A63" s="5"/>
    </row>
    <row r="64" ht="15.75" customHeight="1">
      <c r="A64" s="5"/>
    </row>
    <row r="65" ht="15.75" customHeight="1">
      <c r="A65" s="5"/>
    </row>
    <row r="66" ht="15.75" customHeight="1">
      <c r="A66" s="5"/>
    </row>
    <row r="67" ht="15.75" customHeight="1">
      <c r="A67" s="5"/>
    </row>
    <row r="68" ht="15.75" customHeight="1">
      <c r="A68" s="5"/>
    </row>
    <row r="69" ht="15.75" customHeight="1">
      <c r="A69" s="5"/>
    </row>
    <row r="70" ht="15.75" customHeight="1">
      <c r="A70" s="5"/>
    </row>
    <row r="71" ht="15.75" customHeight="1">
      <c r="A71" s="5"/>
    </row>
    <row r="72" ht="15.75" customHeight="1">
      <c r="A72" s="5"/>
    </row>
    <row r="73" ht="15.75" customHeight="1">
      <c r="A73" s="5"/>
    </row>
    <row r="74" ht="15.75" customHeight="1">
      <c r="A74" s="5"/>
    </row>
    <row r="75" ht="15.75" customHeight="1">
      <c r="A75" s="5"/>
    </row>
    <row r="76" ht="15.75" customHeight="1">
      <c r="A76" s="5"/>
    </row>
    <row r="77" ht="15.75" customHeight="1">
      <c r="A77" s="5"/>
    </row>
    <row r="78" ht="15.75" customHeight="1">
      <c r="A78" s="5"/>
    </row>
    <row r="79" ht="15.75" customHeight="1">
      <c r="A79" s="5"/>
    </row>
    <row r="80" ht="15.75" customHeight="1">
      <c r="A80" s="5"/>
    </row>
    <row r="81" ht="15.75" customHeight="1">
      <c r="A81" s="5"/>
    </row>
    <row r="82" ht="15.75" customHeight="1">
      <c r="A82" s="5"/>
    </row>
    <row r="83" ht="15.75" customHeight="1">
      <c r="A83" s="5"/>
    </row>
    <row r="84" ht="15.75" customHeight="1">
      <c r="A84" s="5"/>
    </row>
    <row r="85" ht="15.75" customHeight="1">
      <c r="A85" s="5"/>
    </row>
    <row r="86" ht="15.75" customHeight="1">
      <c r="A86" s="5"/>
    </row>
    <row r="87" ht="15.75" customHeight="1">
      <c r="A87" s="5"/>
    </row>
    <row r="88" ht="15.75" customHeight="1">
      <c r="A88" s="5"/>
    </row>
    <row r="89" ht="15.75" customHeight="1">
      <c r="A89" s="5"/>
    </row>
    <row r="90" ht="15.75" customHeight="1">
      <c r="A90" s="5"/>
    </row>
    <row r="91" ht="15.75" customHeight="1">
      <c r="A91" s="5"/>
    </row>
    <row r="92" ht="15.75" customHeight="1">
      <c r="A92" s="5"/>
    </row>
    <row r="93" ht="15.75" customHeight="1">
      <c r="A93" s="5"/>
    </row>
    <row r="94" ht="15.75" customHeight="1">
      <c r="A94" s="5"/>
    </row>
    <row r="95" ht="15.75" customHeight="1">
      <c r="A95" s="5"/>
    </row>
    <row r="96" ht="15.75" customHeight="1">
      <c r="A96" s="5"/>
    </row>
    <row r="97" ht="15.75" customHeight="1">
      <c r="A97" s="5"/>
    </row>
    <row r="98" ht="15.75" customHeight="1">
      <c r="A98" s="5"/>
    </row>
    <row r="99" ht="15.75" customHeight="1">
      <c r="A99" s="5"/>
    </row>
    <row r="100" ht="15.75" customHeight="1">
      <c r="A100" s="5"/>
    </row>
    <row r="101" ht="15.75" customHeight="1">
      <c r="A101" s="5"/>
    </row>
    <row r="102" ht="15.75" customHeight="1">
      <c r="A102" s="5"/>
    </row>
    <row r="103" ht="15.75" customHeight="1">
      <c r="A103" s="5"/>
    </row>
    <row r="104" ht="15.75" customHeight="1">
      <c r="A104" s="5"/>
    </row>
    <row r="105" ht="15.75" customHeight="1">
      <c r="A105" s="5"/>
    </row>
    <row r="106" ht="15.75" customHeight="1">
      <c r="A106" s="5"/>
    </row>
    <row r="107" ht="15.75" customHeight="1">
      <c r="A107" s="5"/>
    </row>
    <row r="108" ht="15.75" customHeight="1">
      <c r="A108" s="5"/>
    </row>
    <row r="109" ht="15.75" customHeight="1">
      <c r="A109" s="5"/>
    </row>
    <row r="110" ht="15.75" customHeight="1">
      <c r="A110" s="5"/>
    </row>
    <row r="111" ht="15.75" customHeight="1">
      <c r="A111" s="5"/>
    </row>
    <row r="112" ht="15.75" customHeight="1">
      <c r="A112" s="5"/>
    </row>
    <row r="113" ht="15.75" customHeight="1">
      <c r="A113" s="5"/>
    </row>
    <row r="114" ht="15.75" customHeight="1">
      <c r="A114" s="5"/>
    </row>
    <row r="115" ht="15.75" customHeight="1">
      <c r="A115" s="5"/>
    </row>
    <row r="116" ht="15.75" customHeight="1">
      <c r="A116" s="5"/>
    </row>
    <row r="117" ht="15.75" customHeight="1">
      <c r="A117" s="5"/>
    </row>
    <row r="118" ht="15.75" customHeight="1">
      <c r="A118" s="5"/>
    </row>
    <row r="119" ht="15.75" customHeight="1">
      <c r="A119" s="5"/>
    </row>
    <row r="120" ht="15.75" customHeight="1">
      <c r="A120" s="5"/>
    </row>
    <row r="121" ht="15.75" customHeight="1">
      <c r="A121" s="5"/>
    </row>
    <row r="122" ht="15.75" customHeight="1">
      <c r="A122" s="5"/>
    </row>
    <row r="123" ht="15.75" customHeight="1">
      <c r="A123" s="5"/>
    </row>
    <row r="124" ht="15.75" customHeight="1">
      <c r="A124" s="5"/>
    </row>
    <row r="125" ht="15.75" customHeight="1">
      <c r="A125" s="5"/>
    </row>
    <row r="126" ht="15.75" customHeight="1">
      <c r="A126" s="5"/>
    </row>
    <row r="127" ht="15.75" customHeight="1">
      <c r="A127" s="5"/>
    </row>
    <row r="128" ht="15.75" customHeight="1">
      <c r="A128" s="5"/>
    </row>
    <row r="129" ht="15.75" customHeight="1">
      <c r="A129" s="5"/>
    </row>
    <row r="130" ht="15.75" customHeight="1">
      <c r="A130" s="5"/>
    </row>
    <row r="131" ht="15.75" customHeight="1">
      <c r="A131" s="5"/>
    </row>
    <row r="132" ht="15.75" customHeight="1">
      <c r="A132" s="5"/>
    </row>
    <row r="133" ht="15.75" customHeight="1">
      <c r="A133" s="5"/>
    </row>
    <row r="134" ht="15.75" customHeight="1">
      <c r="A134" s="5"/>
    </row>
    <row r="135" ht="15.75" customHeight="1">
      <c r="A135" s="5"/>
    </row>
    <row r="136" ht="15.75" customHeight="1">
      <c r="A136" s="5"/>
    </row>
    <row r="137" ht="15.75" customHeight="1">
      <c r="A137" s="5"/>
    </row>
    <row r="138" ht="15.75" customHeight="1">
      <c r="A138" s="5"/>
    </row>
    <row r="139" ht="15.75" customHeight="1">
      <c r="A139" s="5"/>
    </row>
    <row r="140" ht="15.75" customHeight="1">
      <c r="A140" s="5"/>
    </row>
    <row r="141" ht="15.75" customHeight="1">
      <c r="A141" s="5"/>
    </row>
    <row r="142" ht="15.75" customHeight="1">
      <c r="A142" s="5"/>
    </row>
    <row r="143" ht="15.75" customHeight="1">
      <c r="A143" s="5"/>
    </row>
    <row r="144" ht="15.75" customHeight="1">
      <c r="A144" s="5"/>
    </row>
    <row r="145" ht="15.75" customHeight="1">
      <c r="A145" s="5"/>
    </row>
    <row r="146" ht="15.75" customHeight="1">
      <c r="A146" s="5"/>
    </row>
    <row r="147" ht="15.75" customHeight="1">
      <c r="A147" s="5"/>
    </row>
    <row r="148" ht="15.75" customHeight="1">
      <c r="A148" s="5"/>
    </row>
    <row r="149" ht="15.75" customHeight="1">
      <c r="A149" s="5"/>
    </row>
    <row r="150" ht="15.75" customHeight="1">
      <c r="A150" s="5"/>
    </row>
    <row r="151" ht="15.75" customHeight="1">
      <c r="A151" s="5"/>
    </row>
    <row r="152" ht="15.75" customHeight="1">
      <c r="A152" s="5"/>
    </row>
    <row r="153" ht="15.75" customHeight="1">
      <c r="A153" s="5"/>
    </row>
    <row r="154" ht="15.75" customHeight="1">
      <c r="A154" s="5"/>
    </row>
    <row r="155" ht="15.75" customHeight="1">
      <c r="A155" s="5"/>
    </row>
    <row r="156" ht="15.75" customHeight="1">
      <c r="A156" s="5"/>
    </row>
    <row r="157" ht="15.75" customHeight="1">
      <c r="A157" s="5"/>
    </row>
    <row r="158" ht="15.75" customHeight="1">
      <c r="A158" s="5"/>
    </row>
    <row r="159" ht="15.75" customHeight="1">
      <c r="A159" s="5"/>
    </row>
    <row r="160" ht="15.75" customHeight="1">
      <c r="A160" s="5"/>
    </row>
    <row r="161" ht="15.75" customHeight="1">
      <c r="A161" s="5"/>
    </row>
    <row r="162" ht="15.75" customHeight="1">
      <c r="A162" s="5"/>
    </row>
    <row r="163" ht="15.75" customHeight="1">
      <c r="A163" s="5"/>
    </row>
    <row r="164" ht="15.75" customHeight="1">
      <c r="A164" s="5"/>
    </row>
    <row r="165" ht="15.75" customHeight="1">
      <c r="A165" s="5"/>
    </row>
    <row r="166" ht="15.75" customHeight="1">
      <c r="A166" s="5"/>
    </row>
    <row r="167" ht="15.75" customHeight="1">
      <c r="A167" s="5"/>
    </row>
    <row r="168" ht="15.75" customHeight="1">
      <c r="A168" s="5"/>
    </row>
    <row r="169" ht="15.75" customHeight="1">
      <c r="A169" s="5"/>
    </row>
    <row r="170" ht="15.75" customHeight="1">
      <c r="A170" s="5"/>
    </row>
    <row r="171" ht="15.75" customHeight="1">
      <c r="A171" s="5"/>
    </row>
    <row r="172" ht="15.75" customHeight="1">
      <c r="A172" s="5"/>
    </row>
    <row r="173" ht="15.75" customHeight="1">
      <c r="A173" s="5"/>
    </row>
    <row r="174" ht="15.75" customHeight="1">
      <c r="A174" s="5"/>
    </row>
    <row r="175" ht="15.75" customHeight="1">
      <c r="A175" s="5"/>
    </row>
    <row r="176" ht="15.75" customHeight="1">
      <c r="A176" s="5"/>
    </row>
    <row r="177" ht="15.75" customHeight="1">
      <c r="A177" s="5"/>
    </row>
    <row r="178" ht="15.75" customHeight="1">
      <c r="A178" s="5"/>
    </row>
    <row r="179" ht="15.75" customHeight="1">
      <c r="A179" s="5"/>
    </row>
    <row r="180" ht="15.75" customHeight="1">
      <c r="A180" s="5"/>
    </row>
    <row r="181" ht="15.75" customHeight="1">
      <c r="A181" s="5"/>
    </row>
    <row r="182" ht="15.75" customHeight="1">
      <c r="A182" s="5"/>
    </row>
    <row r="183" ht="15.75" customHeight="1">
      <c r="A183" s="5"/>
    </row>
    <row r="184" ht="15.75" customHeight="1">
      <c r="A184" s="5"/>
    </row>
    <row r="185" ht="15.75" customHeight="1">
      <c r="A185" s="5"/>
    </row>
    <row r="186" ht="15.75" customHeight="1">
      <c r="A186" s="5"/>
    </row>
    <row r="187" ht="15.75" customHeight="1">
      <c r="A187" s="5"/>
    </row>
    <row r="188" ht="15.75" customHeight="1">
      <c r="A188" s="5"/>
    </row>
    <row r="189" ht="15.75" customHeight="1">
      <c r="A189" s="5"/>
    </row>
    <row r="190" ht="15.75" customHeight="1">
      <c r="A190" s="5"/>
    </row>
    <row r="191" ht="15.75" customHeight="1">
      <c r="A191" s="5"/>
    </row>
    <row r="192" ht="15.75" customHeight="1">
      <c r="A192" s="5"/>
    </row>
    <row r="193" ht="15.75" customHeight="1">
      <c r="A193" s="5"/>
    </row>
    <row r="194" ht="15.75" customHeight="1">
      <c r="A194" s="5"/>
    </row>
    <row r="195" ht="15.75" customHeight="1">
      <c r="A195" s="5"/>
    </row>
    <row r="196" ht="15.75" customHeight="1">
      <c r="A196" s="5"/>
    </row>
    <row r="197" ht="15.75" customHeight="1">
      <c r="A197" s="5"/>
    </row>
    <row r="198" ht="15.75" customHeight="1">
      <c r="A198" s="5"/>
    </row>
    <row r="199" ht="15.75" customHeight="1">
      <c r="A199" s="5"/>
    </row>
    <row r="200" ht="15.75" customHeight="1">
      <c r="A200" s="5"/>
    </row>
    <row r="201" ht="15.75" customHeight="1">
      <c r="A201" s="5"/>
    </row>
    <row r="202" ht="15.75" customHeight="1">
      <c r="A202" s="5"/>
    </row>
    <row r="203" ht="15.75" customHeight="1">
      <c r="A203" s="5"/>
    </row>
    <row r="204" ht="15.75" customHeight="1">
      <c r="A204" s="5"/>
    </row>
    <row r="205" ht="15.75" customHeight="1">
      <c r="A205" s="5"/>
    </row>
    <row r="206" ht="15.75" customHeight="1">
      <c r="A206" s="5"/>
    </row>
    <row r="207" ht="15.75" customHeight="1">
      <c r="A207" s="5"/>
    </row>
    <row r="208" ht="15.75" customHeight="1">
      <c r="A208" s="5"/>
    </row>
    <row r="209" ht="15.75" customHeight="1">
      <c r="A209" s="5"/>
    </row>
    <row r="210" ht="15.75" customHeight="1">
      <c r="A210" s="5"/>
    </row>
    <row r="211" ht="15.75" customHeight="1">
      <c r="A211" s="5"/>
    </row>
    <row r="212" ht="15.75" customHeight="1">
      <c r="A212" s="5"/>
    </row>
    <row r="213" ht="15.75" customHeight="1">
      <c r="A213" s="5"/>
    </row>
    <row r="214" ht="15.75" customHeight="1">
      <c r="A214" s="5"/>
    </row>
    <row r="215" ht="15.75" customHeight="1">
      <c r="A215" s="5"/>
    </row>
    <row r="216" ht="15.75" customHeight="1">
      <c r="A216" s="5"/>
    </row>
    <row r="217" ht="15.75" customHeight="1">
      <c r="A217" s="5"/>
    </row>
    <row r="218" ht="15.75" customHeight="1">
      <c r="A218" s="5"/>
    </row>
    <row r="219" ht="15.75" customHeight="1">
      <c r="A219" s="5"/>
    </row>
    <row r="220" ht="15.75" customHeight="1">
      <c r="A220" s="5"/>
    </row>
    <row r="221" ht="15.75" customHeight="1">
      <c r="A221" s="5"/>
    </row>
    <row r="222" ht="15.75" customHeight="1">
      <c r="A222" s="5"/>
    </row>
    <row r="223" ht="15.75" customHeight="1">
      <c r="A223" s="5"/>
    </row>
    <row r="224" ht="15.75" customHeight="1">
      <c r="A224" s="5"/>
    </row>
    <row r="225" ht="15.75" customHeight="1">
      <c r="A225" s="5"/>
    </row>
    <row r="226" ht="15.75" customHeight="1">
      <c r="A226" s="5"/>
    </row>
    <row r="227" ht="15.75" customHeight="1">
      <c r="A227" s="5"/>
    </row>
    <row r="228" ht="15.75" customHeight="1">
      <c r="A228" s="5"/>
    </row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